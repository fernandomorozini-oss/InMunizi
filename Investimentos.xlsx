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xr:revisionPtr revIDLastSave="0" documentId="8_{B9D9BE0A-852C-46B2-9F4E-41ABE958F756}" xr6:coauthVersionLast="47" xr6:coauthVersionMax="47" xr10:uidLastSave="{00000000-0000-0000-0000-000000000000}"/>
  <bookViews>
    <workbookView xWindow="-108" yWindow="-108" windowWidth="23256" windowHeight="13176" tabRatio="0" xr2:uid="{932E956D-F283-4D16-ABE8-B38C08C7619D}"/>
  </bookViews>
  <sheets>
    <sheet name="Planilha1" sheetId="1" r:id="rId1"/>
    <sheet name="Planilha2" sheetId="2" r:id="rId2"/>
  </sheets>
  <definedNames>
    <definedName name="aporte">Planilha1!$D$17</definedName>
    <definedName name="_xlnm.Print_Area" localSheetId="0">Planilha1!$A$1:$E$37</definedName>
    <definedName name="rendimento_carteira">Planilha1!$D$13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5" i="2"/>
  <c r="A11" i="2"/>
  <c r="A12" i="2"/>
  <c r="A13" i="2"/>
  <c r="A14" i="2"/>
  <c r="A15" i="2"/>
  <c r="A16" i="2"/>
  <c r="A17" i="2"/>
  <c r="C36" i="1" s="1"/>
  <c r="D36" i="1" s="1"/>
  <c r="A18" i="2"/>
  <c r="A19" i="2"/>
  <c r="A20" i="2"/>
  <c r="A21" i="2"/>
  <c r="A22" i="2"/>
  <c r="A6" i="2"/>
  <c r="A7" i="2"/>
  <c r="A8" i="2"/>
  <c r="A9" i="2"/>
  <c r="A10" i="2"/>
  <c r="A5" i="2"/>
  <c r="D17" i="1" l="1"/>
  <c r="C35" i="1"/>
  <c r="D35" i="1" s="1"/>
  <c r="C40" i="1"/>
  <c r="D40" i="1" s="1"/>
  <c r="C39" i="1"/>
  <c r="D39" i="1" s="1"/>
  <c r="C38" i="1"/>
  <c r="D38" i="1" s="1"/>
  <c r="C37" i="1"/>
  <c r="D37" i="1" s="1"/>
  <c r="D20" i="1" l="1"/>
  <c r="D21" i="1" s="1"/>
  <c r="C24" i="1"/>
  <c r="D24" i="1" s="1"/>
  <c r="C25" i="1"/>
  <c r="D25" i="1" s="1"/>
  <c r="C26" i="1"/>
  <c r="D26" i="1" s="1"/>
  <c r="C27" i="1"/>
  <c r="D27" i="1" s="1"/>
  <c r="C28" i="1"/>
  <c r="D28" i="1" s="1"/>
  <c r="D41" i="1"/>
</calcChain>
</file>

<file path=xl/sharedStrings.xml><?xml version="1.0" encoding="utf-8"?>
<sst xmlns="http://schemas.openxmlformats.org/spreadsheetml/2006/main" count="88" uniqueCount="45">
  <si>
    <t>Quanto Investir por Mes?</t>
  </si>
  <si>
    <t>Por Quantos Anos?</t>
  </si>
  <si>
    <t>Taxa de Rendimento Mensal?</t>
  </si>
  <si>
    <t>Dividendos Mensais?</t>
  </si>
  <si>
    <t>Patrimonio Acumulado?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</si>
  <si>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</si>
  <si>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</si>
  <si>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</si>
  <si>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</si>
  <si>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</si>
  <si>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</si>
  <si>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</si>
  <si>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</si>
  <si>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Configurações</t>
  </si>
  <si>
    <t>Rendimento Carteira</t>
  </si>
  <si>
    <t>Salário</t>
  </si>
  <si>
    <t>Sugestão de Investimento</t>
  </si>
  <si>
    <t>Agressivo</t>
  </si>
  <si>
    <t>VALOR MENSAL A INVESTIR</t>
  </si>
  <si>
    <t>PERFIL</t>
  </si>
  <si>
    <t>TIPO DE FII</t>
  </si>
  <si>
    <t>PAPEL</t>
  </si>
  <si>
    <t>TIJOLO</t>
  </si>
  <si>
    <t>HÍBRIDOS</t>
  </si>
  <si>
    <t>FOFs</t>
  </si>
  <si>
    <t>Percentual Sugerido</t>
  </si>
  <si>
    <t>Valores</t>
  </si>
  <si>
    <t>DESENVOLVIMENTO</t>
  </si>
  <si>
    <t>HOTELARIAS</t>
  </si>
  <si>
    <t>Conservador</t>
  </si>
  <si>
    <t>Chave</t>
  </si>
  <si>
    <t>%</t>
  </si>
  <si>
    <t>Moderado</t>
  </si>
  <si>
    <t>Conservador-PAPEL</t>
  </si>
  <si>
    <t>Conservador-TIJOLO</t>
  </si>
  <si>
    <t>Conservador-HÍBRIDOS</t>
  </si>
  <si>
    <t>Conservador-FOFs</t>
  </si>
  <si>
    <t>Conservador-DESENVOLVIMENTO</t>
  </si>
  <si>
    <t>Conservador-HOTELARIAS</t>
  </si>
  <si>
    <t>Moderado-PAPEL</t>
  </si>
  <si>
    <t>Moderado-TIJOLO</t>
  </si>
  <si>
    <t>Moderado-HÍBRIDOS</t>
  </si>
  <si>
    <t>Moderado-FOFs</t>
  </si>
  <si>
    <t>Moderado-DESENVOLVIMENTO</t>
  </si>
  <si>
    <t>Moderado-HOTELARIAS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</si>
</sst>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Segoe UI Semibold"/>
      <family val="2"/>
    </font>
    <font>
      <sz val="18"/>
      <color theme="0"/>
      <name val="Segoe UI Semibold"/>
      <family val="2"/>
    </font>
    <font>
      <sz val="14"/>
      <color theme="0"/>
      <name val="Segoe UI Semibold"/>
      <family val="2"/>
    </font>
    <font>
      <sz val="11"/>
      <color theme="1"/>
      <name val="Segoe UI Semibold"/>
      <family val="2"/>
    </font>
    <font>
      <b/>
      <sz val="11"/>
      <color theme="1"/>
      <name val="Segoe UI Semibold"/>
      <family val="2"/>
    </font>
    <font>
      <sz val="10"/>
      <color theme="0"/>
      <name val="Segoe UI Semibold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6" tint="-0.249977111117893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 style="thin">
        <color theme="0" tint="-0.14996795556505021"/>
      </top>
      <bottom style="medium">
        <color theme="9"/>
      </bottom>
      <diagonal/>
    </border>
    <border>
      <left style="medium">
        <color theme="6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6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9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/>
      </left>
      <right style="medium">
        <color theme="9"/>
      </right>
      <top/>
      <bottom style="dashed">
        <color theme="0"/>
      </bottom>
      <diagonal/>
    </border>
    <border>
      <left style="medium">
        <color theme="9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medium">
        <color theme="9"/>
      </left>
      <right style="dashed">
        <color theme="0"/>
      </right>
      <top style="dashed">
        <color theme="0"/>
      </top>
      <bottom style="medium">
        <color theme="9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medium">
        <color theme="9"/>
      </bottom>
      <diagonal/>
    </border>
    <border>
      <left style="thin">
        <color theme="0"/>
      </left>
      <right style="medium">
        <color theme="6"/>
      </right>
      <top style="thin">
        <color theme="0" tint="-0.14996795556505021"/>
      </top>
      <bottom style="thin">
        <color theme="0"/>
      </bottom>
      <diagonal/>
    </border>
    <border>
      <left style="medium">
        <color theme="6"/>
      </left>
      <right style="thin">
        <color theme="0"/>
      </right>
      <top style="thin">
        <color theme="0"/>
      </top>
      <bottom style="medium">
        <color theme="6"/>
      </bottom>
      <diagonal/>
    </border>
    <border>
      <left style="thin">
        <color theme="0"/>
      </left>
      <right style="medium">
        <color theme="6"/>
      </right>
      <top style="thin">
        <color theme="0"/>
      </top>
      <bottom style="medium">
        <color theme="6"/>
      </bottom>
      <diagonal/>
    </border>
    <border>
      <left style="dashed">
        <color theme="0"/>
      </left>
      <right style="medium">
        <color theme="9"/>
      </right>
      <top/>
      <bottom style="medium">
        <color theme="9"/>
      </bottom>
      <diagonal/>
    </border>
    <border>
      <left style="medium">
        <color theme="6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theme="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medium">
        <color theme="9"/>
      </left>
      <right style="thin">
        <color theme="0"/>
      </right>
      <top style="thin">
        <color theme="0"/>
      </top>
      <bottom style="medium">
        <color theme="9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medium">
        <color theme="9"/>
      </bottom>
      <diagonal/>
    </border>
    <border>
      <left style="medium">
        <color theme="6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6"/>
      </bottom>
      <diagonal/>
    </border>
    <border>
      <left style="medium">
        <color theme="9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/>
      <bottom style="thin">
        <color theme="0"/>
      </bottom>
      <diagonal/>
    </border>
    <border>
      <left style="medium">
        <color theme="6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6"/>
      </right>
      <top/>
      <bottom style="thin">
        <color theme="0" tint="-0.14996795556505021"/>
      </bottom>
      <diagonal/>
    </border>
    <border>
      <left style="dashed">
        <color theme="0"/>
      </left>
      <right style="dashed">
        <color theme="0"/>
      </right>
      <top/>
      <bottom style="dashed">
        <color theme="0"/>
      </bottom>
      <diagonal/>
    </border>
    <border>
      <left style="medium">
        <color theme="9"/>
      </left>
      <right style="dashed">
        <color theme="0"/>
      </right>
      <top/>
      <bottom style="dashed">
        <color theme="0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6" fillId="0" borderId="6" xfId="0" applyNumberFormat="1" applyFont="1" applyBorder="1" applyAlignment="1">
      <alignment horizontal="center"/>
    </xf>
    <xf numFmtId="9" fontId="6" fillId="0" borderId="2" xfId="2" applyFont="1" applyBorder="1" applyAlignment="1">
      <alignment horizontal="center"/>
    </xf>
    <xf numFmtId="164" fontId="6" fillId="0" borderId="3" xfId="1" applyNumberFormat="1" applyFont="1" applyBorder="1" applyAlignment="1">
      <alignment horizontal="center"/>
    </xf>
    <xf numFmtId="164" fontId="6" fillId="0" borderId="30" xfId="1" applyNumberFormat="1" applyFont="1" applyBorder="1" applyAlignment="1">
      <alignment horizontal="center"/>
    </xf>
    <xf numFmtId="0" fontId="6" fillId="0" borderId="5" xfId="1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8" fontId="6" fillId="3" borderId="13" xfId="0" applyNumberFormat="1" applyFont="1" applyFill="1" applyBorder="1" applyAlignment="1">
      <alignment horizontal="center"/>
    </xf>
    <xf numFmtId="8" fontId="6" fillId="3" borderId="15" xfId="0" applyNumberFormat="1" applyFont="1" applyFill="1" applyBorder="1" applyAlignment="1">
      <alignment horizontal="center"/>
    </xf>
    <xf numFmtId="0" fontId="6" fillId="3" borderId="32" xfId="0" applyFont="1" applyFill="1" applyBorder="1" applyAlignment="1">
      <alignment horizontal="left" indent="3"/>
    </xf>
    <xf numFmtId="8" fontId="6" fillId="3" borderId="31" xfId="0" applyNumberFormat="1" applyFont="1" applyFill="1" applyBorder="1"/>
    <xf numFmtId="8" fontId="6" fillId="3" borderId="8" xfId="0" applyNumberFormat="1" applyFont="1" applyFill="1" applyBorder="1"/>
    <xf numFmtId="0" fontId="6" fillId="3" borderId="9" xfId="0" applyFont="1" applyFill="1" applyBorder="1" applyAlignment="1">
      <alignment horizontal="left" indent="3"/>
    </xf>
    <xf numFmtId="8" fontId="6" fillId="3" borderId="10" xfId="0" applyNumberFormat="1" applyFont="1" applyFill="1" applyBorder="1"/>
    <xf numFmtId="0" fontId="6" fillId="3" borderId="11" xfId="0" applyFont="1" applyFill="1" applyBorder="1" applyAlignment="1">
      <alignment horizontal="left" indent="3"/>
    </xf>
    <xf numFmtId="8" fontId="6" fillId="3" borderId="12" xfId="0" applyNumberFormat="1" applyFont="1" applyFill="1" applyBorder="1"/>
    <xf numFmtId="8" fontId="6" fillId="3" borderId="16" xfId="0" applyNumberFormat="1" applyFont="1" applyFill="1" applyBorder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9" fontId="0" fillId="0" borderId="0" xfId="2" applyFont="1"/>
    <xf numFmtId="0" fontId="5" fillId="2" borderId="38" xfId="0" applyFont="1" applyFill="1" applyBorder="1" applyAlignment="1">
      <alignment vertical="center"/>
    </xf>
    <xf numFmtId="0" fontId="8" fillId="4" borderId="33" xfId="0" applyFont="1" applyFill="1" applyBorder="1" applyAlignment="1">
      <alignment horizontal="left" vertical="center" indent="3"/>
    </xf>
    <xf numFmtId="0" fontId="0" fillId="3" borderId="0" xfId="0" applyFill="1" applyAlignment="1">
      <alignment horizontal="left" indent="3"/>
    </xf>
    <xf numFmtId="0" fontId="0" fillId="0" borderId="0" xfId="0" applyAlignment="1">
      <alignment horizontal="left" indent="3"/>
    </xf>
    <xf numFmtId="0" fontId="2" fillId="6" borderId="0" xfId="0" applyFont="1" applyFill="1" applyAlignment="1">
      <alignment horizontal="left" indent="3"/>
    </xf>
    <xf numFmtId="0" fontId="0" fillId="0" borderId="0" xfId="0" applyAlignment="1">
      <alignment horizontal="left" indent="4"/>
    </xf>
    <xf numFmtId="0" fontId="2" fillId="6" borderId="0" xfId="0" applyFont="1" applyFill="1" applyAlignment="1">
      <alignment horizontal="left" indent="4"/>
    </xf>
    <xf numFmtId="164" fontId="0" fillId="0" borderId="0" xfId="0" applyNumberFormat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4" fontId="0" fillId="3" borderId="39" xfId="0" applyNumberFormat="1" applyFill="1" applyBorder="1" applyAlignment="1">
      <alignment horizontal="center"/>
    </xf>
    <xf numFmtId="0" fontId="6" fillId="5" borderId="28" xfId="0" applyFont="1" applyFill="1" applyBorder="1" applyAlignment="1">
      <alignment horizontal="left" indent="3"/>
    </xf>
    <xf numFmtId="0" fontId="6" fillId="5" borderId="29" xfId="0" applyFont="1" applyFill="1" applyBorder="1" applyAlignment="1">
      <alignment horizontal="left" indent="3"/>
    </xf>
    <xf numFmtId="0" fontId="6" fillId="3" borderId="21" xfId="0" applyFont="1" applyFill="1" applyBorder="1" applyAlignment="1">
      <alignment horizontal="left" indent="3"/>
    </xf>
    <xf numFmtId="0" fontId="6" fillId="3" borderId="22" xfId="0" applyFont="1" applyFill="1" applyBorder="1" applyAlignment="1">
      <alignment horizontal="left" indent="3"/>
    </xf>
    <xf numFmtId="0" fontId="6" fillId="3" borderId="19" xfId="0" applyFont="1" applyFill="1" applyBorder="1" applyAlignment="1">
      <alignment horizontal="left" indent="3"/>
    </xf>
    <xf numFmtId="0" fontId="6" fillId="3" borderId="20" xfId="0" applyFont="1" applyFill="1" applyBorder="1" applyAlignment="1">
      <alignment horizontal="left" indent="3"/>
    </xf>
    <xf numFmtId="0" fontId="6" fillId="3" borderId="26" xfId="0" applyFont="1" applyFill="1" applyBorder="1" applyAlignment="1">
      <alignment horizontal="left" indent="3"/>
    </xf>
    <xf numFmtId="0" fontId="6" fillId="3" borderId="27" xfId="0" applyFont="1" applyFill="1" applyBorder="1" applyAlignment="1">
      <alignment horizontal="left" indent="3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indent="3"/>
    </xf>
    <xf numFmtId="0" fontId="7" fillId="3" borderId="25" xfId="0" applyFont="1" applyFill="1" applyBorder="1" applyAlignment="1">
      <alignment horizontal="left" indent="3"/>
    </xf>
    <xf numFmtId="0" fontId="7" fillId="3" borderId="23" xfId="0" applyFont="1" applyFill="1" applyBorder="1" applyAlignment="1">
      <alignment horizontal="left" indent="3"/>
    </xf>
    <xf numFmtId="0" fontId="7" fillId="3" borderId="24" xfId="0" applyFont="1" applyFill="1" applyBorder="1" applyAlignment="1">
      <alignment horizontal="left" indent="3"/>
    </xf>
    <xf numFmtId="0" fontId="6" fillId="5" borderId="17" xfId="0" applyFont="1" applyFill="1" applyBorder="1" applyAlignment="1">
      <alignment horizontal="left" indent="3"/>
    </xf>
    <xf numFmtId="0" fontId="6" fillId="5" borderId="18" xfId="0" applyFont="1" applyFill="1" applyBorder="1" applyAlignment="1">
      <alignment horizontal="left" indent="3"/>
    </xf>
    <xf numFmtId="0" fontId="6" fillId="5" borderId="4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</a:t>
            </a:r>
            <a:r>
              <a:rPr lang="pt-BR" baseline="0"/>
              <a:t> Sugerido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0E-4FC0-8AD7-695DD58D99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0E-4FC0-8AD7-695DD58D99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0E-4FC0-8AD7-695DD58D99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0E-4FC0-8AD7-695DD58D99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0E-4FC0-8AD7-695DD58D99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0E-4FC0-8AD7-695DD58D9982}"/>
              </c:ext>
            </c:extLst>
          </c:dPt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Planilha1!$C$35:$C$40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7-4A3B-B791-53C71F553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1989483</xdr:colOff>
      <xdr:row>0</xdr:row>
      <xdr:rowOff>45720</xdr:rowOff>
    </xdr:from>
    <xdr:to>
      <xdr:col>2</xdr:col>
      <xdr:colOff>1270221</xdr:colOff>
      <xdr:row>9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CB82D2-EB72-2237-9E78-3B4583D65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63" t="17324" r="18301" b="25983"/>
        <a:stretch>
          <a:fillRect/>
        </a:stretch>
      </xdr:blipFill>
      <xdr:spPr>
        <a:xfrm>
          <a:off x="2263140" y="45720"/>
          <a:ext cx="1965960" cy="1645920"/>
        </a:xfrm>
        <a:prstGeom prst="rect">
          <a:avLst/>
        </a:prstGeom>
      </xdr:spPr>
    </xdr:pic>
    <xdr:clientData/>
  </xdr:twoCellAnchor>
  <xdr:twoCellAnchor>
    <xdr:from>
      <xdr:col>1</xdr:col>
      <xdr:colOff>1068456</xdr:colOff>
      <xdr:row>41</xdr:row>
      <xdr:rowOff>8281</xdr:rowOff>
    </xdr:from>
    <xdr:to>
      <xdr:col>3</xdr:col>
      <xdr:colOff>621195</xdr:colOff>
      <xdr:row>55</xdr:row>
      <xdr:rowOff>24847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563663-AEB6-474A-775E-72FBBF423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360C-0B56-4772-8BEF-6D9FE1343468}">
  <dimension ref="A11:D41"/>
  <sheetViews>
    <sheetView showGridLines="0" tabSelected="1" topLeftCell="A13" zoomScale="92" zoomScaleNormal="100" zoomScaleSheetLayoutView="110" workbookViewId="0">
      <selection activeCell="E29" sqref="E29"/>
    </sheetView>
  </sheetViews>
  <sheetFormatPr defaultRowHeight="14.4" x14ac:dyDescent="0.3"/>
  <cols>
    <col min="1" max="1" width="3.5546875" customWidth="1"/>
    <col min="2" max="2" width="35.33203125" customWidth="1"/>
    <col min="3" max="3" width="25.33203125" customWidth="1"/>
    <col min="4" max="4" width="18.44140625" customWidth="1"/>
    <col min="5" max="5" width="19.33203125" bestFit="1" customWidth="1"/>
  </cols>
  <sheetData>
    <row r="11" spans="2:4" ht="28.8" customHeight="1" x14ac:dyDescent="0.3">
      <c r="B11" s="47" t="s">
        <v>13</v>
      </c>
      <c r="C11" s="48"/>
      <c r="D11" s="49"/>
    </row>
    <row r="12" spans="2:4" ht="16.8" x14ac:dyDescent="0.4">
      <c r="B12" s="41" t="s">
        <v>15</v>
      </c>
      <c r="C12" s="42"/>
      <c r="D12" s="3">
        <v>4200</v>
      </c>
    </row>
    <row r="13" spans="2:4" ht="16.8" x14ac:dyDescent="0.4">
      <c r="B13" s="39" t="s">
        <v>14</v>
      </c>
      <c r="C13" s="40"/>
      <c r="D13" s="4">
        <v>0.01</v>
      </c>
    </row>
    <row r="14" spans="2:4" ht="17.399999999999999" thickBot="1" x14ac:dyDescent="0.45">
      <c r="B14" s="37" t="s">
        <v>16</v>
      </c>
      <c r="C14" s="38"/>
      <c r="D14" s="5">
        <f>D12*30%</f>
        <v>1260</v>
      </c>
    </row>
    <row r="16" spans="2:4" ht="27" x14ac:dyDescent="0.3">
      <c r="B16" s="50" t="s">
        <v>5</v>
      </c>
      <c r="C16" s="51"/>
      <c r="D16" s="52"/>
    </row>
    <row r="17" spans="1:4" ht="16.8" x14ac:dyDescent="0.4">
      <c r="B17" s="35" t="s">
        <v>0</v>
      </c>
      <c r="C17" s="36"/>
      <c r="D17" s="6">
        <f>D14</f>
        <v>1260</v>
      </c>
    </row>
    <row r="18" spans="1:4" ht="16.8" x14ac:dyDescent="0.4">
      <c r="A18" s="2">
        <v>2</v>
      </c>
      <c r="B18" s="59" t="s">
        <v>1</v>
      </c>
      <c r="C18" s="60"/>
      <c r="D18" s="7">
        <v>10</v>
      </c>
    </row>
    <row r="19" spans="1:4" ht="16.8" x14ac:dyDescent="0.4">
      <c r="A19" s="2">
        <v>5</v>
      </c>
      <c r="B19" s="57" t="s">
        <v>2</v>
      </c>
      <c r="C19" s="58"/>
      <c r="D19" s="8">
        <v>1.0789999999999999E-2</v>
      </c>
    </row>
    <row r="20" spans="1:4" ht="16.8" x14ac:dyDescent="0.4">
      <c r="A20" s="2">
        <v>10</v>
      </c>
      <c r="B20" s="55" t="s">
        <v>4</v>
      </c>
      <c r="C20" s="56"/>
      <c r="D20" s="9">
        <f>FV(D19,D18*12,D17*-1)</f>
        <v>306538.10778801696</v>
      </c>
    </row>
    <row r="21" spans="1:4" ht="17.399999999999999" thickBot="1" x14ac:dyDescent="0.45">
      <c r="A21" s="2">
        <v>20</v>
      </c>
      <c r="B21" s="53" t="s">
        <v>3</v>
      </c>
      <c r="C21" s="54"/>
      <c r="D21" s="10">
        <f>D20*1%</f>
        <v>3065.3810778801699</v>
      </c>
    </row>
    <row r="22" spans="1:4" x14ac:dyDescent="0.3">
      <c r="A22" s="2">
        <v>30</v>
      </c>
    </row>
    <row r="23" spans="1:4" ht="27" x14ac:dyDescent="0.3">
      <c r="B23" s="43" t="s">
        <v>6</v>
      </c>
      <c r="C23" s="44"/>
      <c r="D23" s="25" t="s">
        <v>12</v>
      </c>
    </row>
    <row r="24" spans="1:4" ht="16.8" x14ac:dyDescent="0.4">
      <c r="B24" s="11" t="s">
        <v>7</v>
      </c>
      <c r="C24" s="12">
        <f>FV($D$19,$A18*12,$D$17*-1)</f>
        <v>34306.810395032975</v>
      </c>
      <c r="D24" s="13">
        <f>C24*rendimento_carteira</f>
        <v>343.06810395032977</v>
      </c>
    </row>
    <row r="25" spans="1:4" ht="16.8" x14ac:dyDescent="0.4">
      <c r="B25" s="14" t="s">
        <v>8</v>
      </c>
      <c r="C25" s="15">
        <f>FV($D$19,$A19*12,$D$17*-1)</f>
        <v>105558.91163809443</v>
      </c>
      <c r="D25" s="13">
        <f>C25*rendimento_carteira</f>
        <v>1055.5891163809442</v>
      </c>
    </row>
    <row r="26" spans="1:4" ht="16.8" x14ac:dyDescent="0.4">
      <c r="B26" s="14" t="s">
        <v>9</v>
      </c>
      <c r="C26" s="15">
        <f>FV($D$19,$A20*12,$D$17*-1)</f>
        <v>306538.10778801696</v>
      </c>
      <c r="D26" s="13">
        <f>C26*rendimento_carteira</f>
        <v>3065.3810778801699</v>
      </c>
    </row>
    <row r="27" spans="1:4" ht="16.8" x14ac:dyDescent="0.4">
      <c r="B27" s="14" t="s">
        <v>10</v>
      </c>
      <c r="C27" s="15">
        <f>FV($D$19,$A21*12,$D$17*-1)</f>
        <v>1417749.9841223215</v>
      </c>
      <c r="D27" s="13">
        <f>C27*rendimento_carteira</f>
        <v>14177.499841223214</v>
      </c>
    </row>
    <row r="28" spans="1:4" ht="17.399999999999999" thickBot="1" x14ac:dyDescent="0.45">
      <c r="B28" s="16" t="s">
        <v>11</v>
      </c>
      <c r="C28" s="17">
        <f>FV($D$19,$A22*12,$D$17*-1)</f>
        <v>5445933.7653059401</v>
      </c>
      <c r="D28" s="18">
        <f>C28*rendimento_carteira</f>
        <v>54459.337653059403</v>
      </c>
    </row>
    <row r="31" spans="1:4" ht="15" x14ac:dyDescent="0.3">
      <c r="B31" s="26" t="s">
        <v>19</v>
      </c>
      <c r="C31" s="45" t="s">
        <v>32</v>
      </c>
      <c r="D31" s="46"/>
    </row>
    <row r="32" spans="1:4" x14ac:dyDescent="0.3">
      <c r="B32" s="27" t="s">
        <v>18</v>
      </c>
      <c r="C32" s="34">
        <v>500</v>
      </c>
      <c r="D32" s="34"/>
    </row>
    <row r="33" spans="2:4" x14ac:dyDescent="0.3">
      <c r="B33" s="28"/>
      <c r="C33" s="30"/>
      <c r="D33" s="30"/>
    </row>
    <row r="34" spans="2:4" x14ac:dyDescent="0.3">
      <c r="B34" s="29" t="s">
        <v>20</v>
      </c>
      <c r="C34" s="31" t="s">
        <v>25</v>
      </c>
      <c r="D34" s="31" t="s">
        <v>26</v>
      </c>
    </row>
    <row r="35" spans="2:4" x14ac:dyDescent="0.3">
      <c r="B35" s="28" t="s">
        <v>21</v>
      </c>
      <c r="C35" s="21">
        <f>VLOOKUP($C$31&amp;"-"&amp;B35,Planilha2!A:D,4,FALSE)</f>
        <v>0.32</v>
      </c>
      <c r="D35" s="32">
        <f>$C$32*C35</f>
        <v>160</v>
      </c>
    </row>
    <row r="36" spans="2:4" x14ac:dyDescent="0.3">
      <c r="B36" s="28" t="s">
        <v>22</v>
      </c>
      <c r="C36" s="21">
        <f>VLOOKUP($C$31&amp;"-"&amp;B36,Planilha2!A:D,4,FALSE)</f>
        <v>0.35</v>
      </c>
      <c r="D36" s="32">
        <f t="shared" ref="D36:D40" si="0">$C$32*C36</f>
        <v>175</v>
      </c>
    </row>
    <row r="37" spans="2:4" x14ac:dyDescent="0.3">
      <c r="B37" s="28" t="s">
        <v>23</v>
      </c>
      <c r="C37" s="21">
        <f>VLOOKUP($C$31&amp;"-"&amp;B37,Planilha2!A:D,4,FALSE)</f>
        <v>0.08</v>
      </c>
      <c r="D37" s="32">
        <f t="shared" si="0"/>
        <v>40</v>
      </c>
    </row>
    <row r="38" spans="2:4" x14ac:dyDescent="0.3">
      <c r="B38" s="28" t="s">
        <v>24</v>
      </c>
      <c r="C38" s="21">
        <f>VLOOKUP($C$31&amp;"-"&amp;B38,Planilha2!A:D,4,FALSE)</f>
        <v>0.05</v>
      </c>
      <c r="D38" s="32">
        <f t="shared" si="0"/>
        <v>25</v>
      </c>
    </row>
    <row r="39" spans="2:4" x14ac:dyDescent="0.3">
      <c r="B39" s="28" t="s">
        <v>27</v>
      </c>
      <c r="C39" s="21">
        <f>VLOOKUP($C$31&amp;"-"&amp;B39,Planilha2!A:D,4,FALSE)</f>
        <v>0.1</v>
      </c>
      <c r="D39" s="32">
        <f t="shared" si="0"/>
        <v>50</v>
      </c>
    </row>
    <row r="40" spans="2:4" x14ac:dyDescent="0.3">
      <c r="B40" s="28" t="s">
        <v>28</v>
      </c>
      <c r="C40" s="21">
        <f>VLOOKUP($C$31&amp;"-"&amp;B40,Planilha2!A:D,4,FALSE)</f>
        <v>0.1</v>
      </c>
      <c r="D40" s="32">
        <f t="shared" si="0"/>
        <v>50</v>
      </c>
    </row>
    <row r="41" spans="2:4" x14ac:dyDescent="0.3">
      <c r="B41" s="19"/>
      <c r="C41" s="20"/>
      <c r="D41" s="33">
        <f>SUM(D35:D40)</f>
        <v>500</v>
      </c>
    </row>
  </sheetData>
  <mergeCells count="13">
    <mergeCell ref="B11:D11"/>
    <mergeCell ref="B16:D16"/>
    <mergeCell ref="B21:C21"/>
    <mergeCell ref="B20:C20"/>
    <mergeCell ref="B19:C19"/>
    <mergeCell ref="B18:C18"/>
    <mergeCell ref="C32:D32"/>
    <mergeCell ref="B17:C17"/>
    <mergeCell ref="B14:C14"/>
    <mergeCell ref="B13:C13"/>
    <mergeCell ref="B12:C12"/>
    <mergeCell ref="B23:C23"/>
    <mergeCell ref="C31:D31"/>
  </mergeCells>
  <dataValidations count="1">
    <dataValidation type="list" allowBlank="1" showInputMessage="1" showErrorMessage="1" sqref="C31" xr:uid="{4641A8D3-CB45-49FF-A15C-FDF856AA55CD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4C00-8D01-4946-8C0F-5E856D82A4D6}">
  <dimension ref="A4:G22"/>
  <sheetViews>
    <sheetView workbookViewId="0">
      <selection activeCell="D15" sqref="D15"/>
    </sheetView>
  </sheetViews>
  <sheetFormatPr defaultRowHeight="14.4" x14ac:dyDescent="0.3"/>
  <cols>
    <col min="1" max="1" width="25.88671875" bestFit="1" customWidth="1"/>
    <col min="2" max="2" width="10.109375" bestFit="1" customWidth="1"/>
    <col min="3" max="3" width="15.88671875" bestFit="1" customWidth="1"/>
    <col min="4" max="4" width="8.77734375" style="1"/>
  </cols>
  <sheetData>
    <row r="4" spans="1:7" x14ac:dyDescent="0.3">
      <c r="A4" t="s">
        <v>30</v>
      </c>
      <c r="B4" t="s">
        <v>29</v>
      </c>
      <c r="C4" s="19" t="s">
        <v>20</v>
      </c>
      <c r="D4" s="1" t="s">
        <v>31</v>
      </c>
      <c r="G4" t="s">
        <v>31</v>
      </c>
    </row>
    <row r="5" spans="1:7" x14ac:dyDescent="0.3">
      <c r="A5" t="str">
        <f>B5&amp;"-"&amp;C5</f>
        <v>Conservador-PAPEL</v>
      </c>
      <c r="B5" t="s">
        <v>29</v>
      </c>
      <c r="C5" t="s">
        <v>21</v>
      </c>
      <c r="D5" s="21">
        <v>0.3</v>
      </c>
      <c r="F5" t="s">
        <v>33</v>
      </c>
      <c r="G5" s="24">
        <f>VLOOKUP(F5,A:D,4,FALSE)</f>
        <v>0.3</v>
      </c>
    </row>
    <row r="6" spans="1:7" x14ac:dyDescent="0.3">
      <c r="A6" t="str">
        <f t="shared" ref="A6:A22" si="0">B6&amp;"-"&amp;C6</f>
        <v>Conservador-TIJOLO</v>
      </c>
      <c r="B6" t="s">
        <v>29</v>
      </c>
      <c r="C6" t="s">
        <v>22</v>
      </c>
      <c r="D6" s="21">
        <v>0.5</v>
      </c>
      <c r="F6" t="s">
        <v>34</v>
      </c>
      <c r="G6" s="24">
        <f t="shared" ref="G6:G22" si="1">VLOOKUP(F6,A:D,4,FALSE)</f>
        <v>0.5</v>
      </c>
    </row>
    <row r="7" spans="1:7" x14ac:dyDescent="0.3">
      <c r="A7" t="str">
        <f t="shared" si="0"/>
        <v>Conservador-HÍBRIDOS</v>
      </c>
      <c r="B7" t="s">
        <v>29</v>
      </c>
      <c r="C7" t="s">
        <v>23</v>
      </c>
      <c r="D7" s="21">
        <v>0.1</v>
      </c>
      <c r="F7" t="s">
        <v>35</v>
      </c>
      <c r="G7" s="24">
        <f t="shared" si="1"/>
        <v>0.1</v>
      </c>
    </row>
    <row r="8" spans="1:7" x14ac:dyDescent="0.3">
      <c r="A8" t="str">
        <f t="shared" si="0"/>
        <v>Conservador-FOFs</v>
      </c>
      <c r="B8" t="s">
        <v>29</v>
      </c>
      <c r="C8" t="s">
        <v>24</v>
      </c>
      <c r="D8" s="21">
        <v>0.1</v>
      </c>
      <c r="F8" t="s">
        <v>36</v>
      </c>
      <c r="G8" s="24">
        <f t="shared" si="1"/>
        <v>0.1</v>
      </c>
    </row>
    <row r="9" spans="1:7" x14ac:dyDescent="0.3">
      <c r="A9" t="str">
        <f t="shared" si="0"/>
        <v>Conservador-DESENVOLVIMENTO</v>
      </c>
      <c r="B9" t="s">
        <v>29</v>
      </c>
      <c r="C9" t="s">
        <v>27</v>
      </c>
      <c r="D9" s="21">
        <v>0</v>
      </c>
      <c r="F9" t="s">
        <v>37</v>
      </c>
      <c r="G9" s="24">
        <f t="shared" si="1"/>
        <v>0</v>
      </c>
    </row>
    <row r="10" spans="1:7" ht="15" thickBot="1" x14ac:dyDescent="0.35">
      <c r="A10" s="22" t="str">
        <f t="shared" si="0"/>
        <v>Conservador-HOTELARIAS</v>
      </c>
      <c r="B10" s="22" t="s">
        <v>29</v>
      </c>
      <c r="C10" s="22" t="s">
        <v>28</v>
      </c>
      <c r="D10" s="23">
        <v>0</v>
      </c>
      <c r="F10" t="s">
        <v>38</v>
      </c>
      <c r="G10" s="24">
        <f t="shared" si="1"/>
        <v>0</v>
      </c>
    </row>
    <row r="11" spans="1:7" ht="15" thickTop="1" x14ac:dyDescent="0.3">
      <c r="A11" t="str">
        <f t="shared" si="0"/>
        <v>Moderado-PAPEL</v>
      </c>
      <c r="B11" t="s">
        <v>32</v>
      </c>
      <c r="C11" t="s">
        <v>21</v>
      </c>
      <c r="D11" s="21">
        <v>0.32</v>
      </c>
      <c r="F11" t="s">
        <v>39</v>
      </c>
      <c r="G11" s="24">
        <f t="shared" si="1"/>
        <v>0.32</v>
      </c>
    </row>
    <row r="12" spans="1:7" x14ac:dyDescent="0.3">
      <c r="A12" t="str">
        <f t="shared" si="0"/>
        <v>Moderado-TIJOLO</v>
      </c>
      <c r="B12" t="s">
        <v>32</v>
      </c>
      <c r="C12" t="s">
        <v>22</v>
      </c>
      <c r="D12" s="21">
        <v>0.35</v>
      </c>
      <c r="F12" t="s">
        <v>40</v>
      </c>
      <c r="G12" s="24">
        <f t="shared" si="1"/>
        <v>0.35</v>
      </c>
    </row>
    <row r="13" spans="1:7" x14ac:dyDescent="0.3">
      <c r="A13" t="str">
        <f t="shared" si="0"/>
        <v>Moderado-HÍBRIDOS</v>
      </c>
      <c r="B13" t="s">
        <v>32</v>
      </c>
      <c r="C13" t="s">
        <v>23</v>
      </c>
      <c r="D13" s="21">
        <v>0.08</v>
      </c>
      <c r="F13" t="s">
        <v>41</v>
      </c>
      <c r="G13" s="24">
        <f t="shared" si="1"/>
        <v>0.08</v>
      </c>
    </row>
    <row r="14" spans="1:7" x14ac:dyDescent="0.3">
      <c r="A14" t="str">
        <f t="shared" si="0"/>
        <v>Moderado-FOFs</v>
      </c>
      <c r="B14" t="s">
        <v>32</v>
      </c>
      <c r="C14" t="s">
        <v>24</v>
      </c>
      <c r="D14" s="21">
        <v>0.05</v>
      </c>
      <c r="F14" t="s">
        <v>42</v>
      </c>
      <c r="G14" s="24">
        <f t="shared" si="1"/>
        <v>0.05</v>
      </c>
    </row>
    <row r="15" spans="1:7" x14ac:dyDescent="0.3">
      <c r="A15" t="str">
        <f t="shared" si="0"/>
        <v>Moderado-DESENVOLVIMENTO</v>
      </c>
      <c r="B15" t="s">
        <v>32</v>
      </c>
      <c r="C15" t="s">
        <v>27</v>
      </c>
      <c r="D15" s="21">
        <v>0.1</v>
      </c>
      <c r="F15" t="s">
        <v>43</v>
      </c>
      <c r="G15" s="24">
        <f t="shared" si="1"/>
        <v>0.1</v>
      </c>
    </row>
    <row r="16" spans="1:7" ht="15" thickBot="1" x14ac:dyDescent="0.35">
      <c r="A16" s="22" t="str">
        <f t="shared" si="0"/>
        <v>Moderado-HOTELARIAS</v>
      </c>
      <c r="B16" s="22" t="s">
        <v>32</v>
      </c>
      <c r="C16" s="22" t="s">
        <v>28</v>
      </c>
      <c r="D16" s="23">
        <v>0.1</v>
      </c>
      <c r="F16" t="s">
        <v>44</v>
      </c>
      <c r="G16" s="24">
        <f t="shared" si="1"/>
        <v>0.1</v>
      </c>
    </row>
    <row r="17" spans="1:7" ht="15" thickTop="1" x14ac:dyDescent="0.3">
      <c r="A17" t="str">
        <f t="shared" si="0"/>
        <v>Agressivo-PAPEL</v>
      </c>
      <c r="B17" t="s">
        <v>17</v>
      </c>
      <c r="C17" t="s">
        <v>21</v>
      </c>
      <c r="D17" s="21">
        <v>0.5</v>
      </c>
      <c r="F17" t="s">
        <v>33</v>
      </c>
      <c r="G17" s="24">
        <f t="shared" si="1"/>
        <v>0.3</v>
      </c>
    </row>
    <row r="18" spans="1:7" x14ac:dyDescent="0.3">
      <c r="A18" t="str">
        <f t="shared" si="0"/>
        <v>Agressivo-TIJOLO</v>
      </c>
      <c r="B18" t="s">
        <v>17</v>
      </c>
      <c r="C18" t="s">
        <v>22</v>
      </c>
      <c r="D18" s="21">
        <v>0.1</v>
      </c>
      <c r="F18" t="s">
        <v>34</v>
      </c>
      <c r="G18" s="24">
        <f t="shared" si="1"/>
        <v>0.5</v>
      </c>
    </row>
    <row r="19" spans="1:7" x14ac:dyDescent="0.3">
      <c r="A19" t="str">
        <f t="shared" si="0"/>
        <v>Agressivo-HÍBRIDOS</v>
      </c>
      <c r="B19" t="s">
        <v>17</v>
      </c>
      <c r="C19" t="s">
        <v>23</v>
      </c>
      <c r="D19" s="21">
        <v>0.05</v>
      </c>
      <c r="F19" t="s">
        <v>35</v>
      </c>
      <c r="G19" s="24">
        <f t="shared" si="1"/>
        <v>0.1</v>
      </c>
    </row>
    <row r="20" spans="1:7" x14ac:dyDescent="0.3">
      <c r="A20" t="str">
        <f t="shared" si="0"/>
        <v>Agressivo-FOFs</v>
      </c>
      <c r="B20" t="s">
        <v>17</v>
      </c>
      <c r="C20" t="s">
        <v>24</v>
      </c>
      <c r="D20" s="21">
        <v>0.05</v>
      </c>
      <c r="F20" t="s">
        <v>36</v>
      </c>
      <c r="G20" s="24">
        <f t="shared" si="1"/>
        <v>0.1</v>
      </c>
    </row>
    <row r="21" spans="1:7" x14ac:dyDescent="0.3">
      <c r="A21" t="str">
        <f t="shared" si="0"/>
        <v>Agressivo-DESENVOLVIMENTO</v>
      </c>
      <c r="B21" t="s">
        <v>17</v>
      </c>
      <c r="C21" t="s">
        <v>27</v>
      </c>
      <c r="D21" s="21">
        <v>0.2</v>
      </c>
      <c r="F21" t="s">
        <v>37</v>
      </c>
      <c r="G21" s="24">
        <f t="shared" si="1"/>
        <v>0</v>
      </c>
    </row>
    <row r="22" spans="1:7" x14ac:dyDescent="0.3">
      <c r="A22" t="str">
        <f t="shared" si="0"/>
        <v>Agressivo-HOTELARIAS</v>
      </c>
      <c r="B22" t="s">
        <v>17</v>
      </c>
      <c r="C22" t="s">
        <v>28</v>
      </c>
      <c r="D22" s="21">
        <v>0.1</v>
      </c>
      <c r="F22" t="s">
        <v>38</v>
      </c>
      <c r="G22" s="24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Planilha1</vt:lpstr>
      <vt:lpstr>Planilha2</vt:lpstr>
      <vt:lpstr>aporte</vt:lpstr>
      <vt:lpstr>Planilha1!Area_de_impressao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Morozini</dc:creator>
  <cp:lastModifiedBy>Fernando Morozini</cp:lastModifiedBy>
  <dcterms:created xsi:type="dcterms:W3CDTF">2026-01-07T18:23:09Z</dcterms:created>
  <dcterms:modified xsi:type="dcterms:W3CDTF">2026-01-09T23:19:43Z</dcterms:modified>
</cp:coreProperties>
</file>